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726"/>
  <workbookPr codeName="ThisWorkbook" defaultThemeVersion="124226"/>
  <mc:AlternateContent xmlns:mc="http://schemas.openxmlformats.org/markup-compatibility/2006">
    <mc:Choice Requires="x15">
      <x15ac:absPath xmlns:x15ac="http://schemas.microsoft.com/office/spreadsheetml/2010/11/ac" url="C:\Users\lucy\Documents\Custom Office Templates\"/>
    </mc:Choice>
  </mc:AlternateContent>
  <bookViews>
    <workbookView xWindow="0" yWindow="0" windowWidth="12285" windowHeight="703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71027"/>
</workbook>
</file>

<file path=xl/calcChain.xml><?xml version="1.0" encoding="utf-8"?>
<calcChain xmlns="http://schemas.openxmlformats.org/spreadsheetml/2006/main">
  <c r="B128" i="7" l="1"/>
  <c r="B127" i="7"/>
  <c r="B130" i="7"/>
  <c r="B129" i="7"/>
  <c r="P45" i="7"/>
  <c r="Q45" i="7" s="1"/>
  <c r="P2" i="7"/>
  <c r="B142" i="7"/>
  <c r="B141" i="7"/>
  <c r="B144" i="7"/>
  <c r="B143" i="7"/>
  <c r="R45" i="7"/>
  <c r="S45" i="7" s="1"/>
  <c r="R2" i="7"/>
  <c r="B114" i="7"/>
  <c r="B113" i="7"/>
  <c r="B116" i="7"/>
  <c r="B115" i="7"/>
  <c r="N45" i="7"/>
  <c r="O45" i="7" s="1"/>
  <c r="N2" i="7"/>
  <c r="B100" i="7"/>
  <c r="B99" i="7"/>
  <c r="B86" i="7"/>
  <c r="B85" i="7"/>
  <c r="B102" i="7"/>
  <c r="B101" i="7"/>
  <c r="L45" i="7"/>
  <c r="M45" i="7" s="1"/>
  <c r="L2" i="7"/>
  <c r="B72" i="7"/>
  <c r="B71" i="7"/>
  <c r="B58" i="7"/>
  <c r="B57" i="7"/>
  <c r="B88" i="7"/>
  <c r="B87" i="7"/>
  <c r="J45" i="7"/>
  <c r="K45" i="7" s="1"/>
  <c r="J2" i="7"/>
  <c r="B74" i="7"/>
  <c r="B73" i="7"/>
  <c r="H45" i="7"/>
  <c r="I45" i="7" s="1"/>
  <c r="H2" i="7"/>
  <c r="B60" i="7"/>
  <c r="B59" i="7"/>
  <c r="F45" i="7"/>
  <c r="G45" i="7" s="1"/>
  <c r="F2" i="7"/>
  <c r="B44" i="7"/>
  <c r="B43" i="7"/>
  <c r="B46" i="7"/>
  <c r="B45" i="7"/>
  <c r="T2" i="7"/>
  <c r="T45"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shape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shape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shape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shapeId="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shapeId="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shape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<sst xmlns="http://schemas.openxmlformats.org/spreadsheetml/2006/main" count="224" uniqueCount="183">
  <si>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</si>
  <si>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</si>
  <si>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</si>
  <si>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</si>
  <si>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</si>
  <si>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</si>
  <si>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</si>
  <si>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</si>
  <si>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</si>
  <si>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</si>
  <si>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</si>
  <si>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</si>
  <si>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</si>
  <si>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</si>
  <si>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</si>
  <si>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</si>
  <si>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</si>
  <si>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</si>
  <si>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</si>
  <si>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</si>
  <si>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</si>
  <si>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</si>
  <si>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</si>
  <si>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</si>
  <si>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</si>
  <si>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</si>
  <si>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</si>
  <si>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</si>
  <si>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</si>
  <si>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</si>
  <si>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</si>
  <si>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</si>
  <si>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</si>
  <si>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</si>
  <si>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</si>
  <si>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</si>
  <si>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</si>
  <si>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</si>
  <si>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</si>
  <si>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</si>
  <si>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</si>
  <si>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</si>
  <si>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</si>
  <si>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</si>
  <si>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</si>
  <si>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</si>
  <si>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</si>
  <si>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</si>
  <si>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</si>
  <si>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</si>
  <si>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</si>
  <si>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</si>
  <si>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</si>
  <si>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</si>
  <si>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</si>
  <si>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</si>
  <si>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</si>
  <si>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</si>
  <si>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</si>
  <si>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</si>
  <si>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</si>
  <si>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</si>
  <si>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</si>
  <si>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</si>
  <si>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</si>
  <si>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</si>
  <si>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</si>
  <si>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</si>
  <si>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</si>
  <si>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</si>
  <si>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</si>
  <si>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</si>
  <si>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</si>
  <si>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</si>
  <si>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</si>
  <si>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</si>
  <si>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</si>
  <si>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</si>
  <si>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</si>
  <si>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</si>
  <si>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</si>
  <si>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</si>
  <si>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</si>
  <si>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</si>
  <si>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</si>
  <si>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</si>
  <si>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</si>
  <si>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</si>
  <si>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</si>
  <si>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</si>
  <si>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</si>
  <si>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</si>
  <si>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</si>
  <si>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</si>
  <si>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</si>
  <si>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</si>
  <si>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</si>
  <si>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</si>
  <si>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</si>
  <si>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</si>
  <si>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</si>
  <si>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</si>
  <si>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</si>
  <si>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</si>
  <si>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</si>
  <si>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</si>
  <si>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</si>
  <si>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</si>
  <si>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</si>
  <si>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</si>
  <si>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</si>
  <si>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</si>
  <si>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</si>
  <si>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</si>
  <si>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</si>
  <si>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</si>
  <si>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</si>
  <si>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</si>
  <si>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</si>
  <si>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</si>
  <si>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</si>
  <si>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</si>
  <si>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</si>
  <si>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</si>
  <si>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</si>
  <si>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</si>
  <si>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</si>
  <si>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</si>
  <si>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</si>
  <si>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</si>
  <si>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</si>
  <si>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</si>
  <si>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</si>
  <si>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</si>
  <si>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</si>
  <si>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</si>
  <si>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</si>
  <si>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</si>
  <si>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</si>
  <si>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</si>
  <si>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</si>
  <si>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</si>
  <si>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</si>
  <si>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</si>
  <si>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</si>
  <si>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</si>
  <si>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</si>
  <si>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</si>
  <si>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</si>
  <si>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</si>
  <si>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</si>
  <si>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</si>
  <si>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</si>
  <si>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</si>
  <si>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</si>
  <si>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</si>
  <si>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</si>
  <si>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</si>
  <si>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</si>
  <si>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</si>
  <si>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</si>
  <si>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</si>
  <si>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</si>
  <si>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</si>
  <si>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</si>
  <si>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</si>
  <si>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</si>
  <si>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</si>
  <si>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</si>
  <si>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</si>
  <si>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</si>
  <si>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</si>
  <si>
    <t>Workbook Settings 1</t>
  </si>
  <si>
    <t>Workbook Settings Cell Count</t>
  </si>
  <si>
    <t>Graph History</t>
  </si>
  <si>
    <t>LayoutAlgorithm░The graph was laid out using the Harel-Koren Fast Multiscale layout algorithm.▓GraphDirectedness░The graph is undirected.</t>
  </si>
  <si>
    <t>centrality</t>
  </si>
  <si>
    <t>Autofill Workbook Results</t>
  </si>
  <si>
    <t>▓0▓0▓0▓True▓Black▓Black▓▓▓0▓0▓0▓0▓0▓False▓▓0▓0▓0▓0▓0▓False▓▓0▓0▓0▓True▓Black▓Black▓▓▓0▓0▓0▓0▓0▓False▓▓0▓0▓0▓0▓0▓False▓▓0▓0▓0▓0▓0▓False▓▓0▓0▓0▓0▓0▓False</t>
  </si>
  <si>
    <t xml:space="preserve">&lt;?xml version="1.0" encoding="utf-8"?&gt;_x000D_
&lt;configuration&gt;_x000D_
  &lt;configSections&gt;_x000D_
    &lt;sectionGroup name="userSettings" type="System.Configuration.UserSettingsGroup, System, Version=2.0.0.0, Culture=neutral, PublicKeyToken=b77a5c561934e089"&gt;_x000D_
      &lt;section name="AutoFillUserSettings3" type="System.Configuration.ClientSettingsSection, System, Version=2.0.0.0, Culture=neutral, PublicKeyToken=b77a5c561934e089" allowExeDefinition="MachineToLocalUser" requirePermission="false" /&gt;_x000D_
      &lt;section name="GraphZoomAndScaleUserSettings" type="System.Configuration.ClientSettingsSection, System, Version=2.0.0.0, Culture=neutral, PublicKeyToken=b77a5c561934e089" allowExeDefinition="MachineToLocalUser" requirePermission="false" /&gt;_x000D_
      &lt;section name="GeneralUserSettings4" type="System.Configuration.ClientSettingsSection, System, Version=2.0.0.0, Culture=neutral, PublicKeyToken=b77a5c561934e089" allowExeDefinition="MachineToLocalUser" requirePermission="false" /&gt;_x000D_
      &lt;section name="LayoutUserSettings" type="System.Configuration.ClientSettingsSection, System, Version=2.0.0.0, Culture=neutral, PublicKeyToken=b77a5c561934e089" allowExeDefinition="MachineToLocalUser" requirePermission="false" /&gt;_x000D_
    &lt;/sectionGroup&gt;_x000D_
  &lt;/configSections&gt;_x000D_
  &lt;userSettings&gt;_x000D_
    &lt;AutoFillUserSettings3&gt;_x000D_
      &lt;setting name="EdgeLabelSourceColumnName" serializeAs="String"&gt;_x000D_
        &lt;value /&gt;_x000D_
      &lt;/setting&gt;_x000D_
      &lt;setting name="VertexLabelPositionDetails" serializeAs="String"&gt;_x000D_
        &lt;value&gt;GreaterThan	0	Bottom Center	Nowhere&lt;/value&gt;_x000D_
      &lt;/setting&gt;_x000D_
      &lt;setting name="VertexYDetails" serializeAs="String"&gt;_x000D_
        &lt;value&gt;False	False	0	0	0	9999	False	False&lt;/value&gt;_x000D_
      &lt;/setting&gt;_x000D_
      &lt;setting name="GroupCollapsedSourceColumnName" serializeAs="String"&gt;_x000D_
        &lt;value /&gt;_x000D_
      &lt;/setting&gt;_x000D_
      &lt;setting name="EdgeWidthSourceColumnName" serializeAs="String"&gt;_x000D_
        &lt;value /&gt;_x000D_
      &lt;/setting&gt;_x000D_
      &lt;setting name="VertexColorSourceColumnName" serializeAs="String"&gt;_x000D_
        &lt;value&gt;centrality&lt;/value&gt;_x000D_
      &lt;/setting&gt;_x000D_
      &lt;setting name="VertexRadiusSourceColumnName" serializeAs="String"&gt;_x000D_
        &lt;value /&gt;_x000D_
      &lt;/setting&gt;_x000D_
      &lt;setting name="VertexRadiusDetails" serializeAs="String"&gt;_x000D_
        &lt;value&gt;False	False	1	10	1.5	10	False	False&lt;/value&gt;_x000D_
      &lt;/setting&gt;_x000D_
      &lt;setting name="GroupCollapsedDetails" serializeAs="String"&gt;_x000D_
        &lt;value&gt;GreaterThan	0	Yes	No&lt;/value&gt;_x000D_
      &lt;/setting&gt;_x000D_
      &lt;setting name="VertexXDetails" serializeAs="String"&gt;_x000D_
        &lt;value&gt;False	False	0	0	0	9999	False	False&lt;/value&gt;_x000D_
      &lt;/setting&gt;_x000D_
      &lt;setting name="VertexPolarAngleDetails" serializeAs="String"&gt;_x000D_
        &lt;value&gt;False	False	0	0	0	359	False	False&lt;/value&gt;_x000D_
      &lt;/setting&gt;_x000D_
      &lt;setting name="VertexPolarRSourceColumnName" serializeAs="String"&gt;_x000D_
        &lt;value /&gt;_x000D_
      &lt;/setting&gt;_x000D_
      &lt;setting name="VertexLayoutOrderDetails" serializeAs="String"&gt;_x000D_
        &lt;value&gt;False	False	0	0	1	9999	False	False&lt;/value&gt;_x000D_
      &lt;/setting&gt;_x000D_
      &lt;setting name="EdgeStyleDetails" serializeAs="String"&gt;_x000D_
        &lt;value&gt;GreaterThan	0	Solid	Dash&lt;/value&gt;_x000D_
      &lt;/setting&gt;_x000D_
      &lt;setting name="VertexShapeSourceColumnName" serializeAs="String"&gt;_x000D_
        &lt;value /&gt;_x000D_
      &lt;/setting&gt;_x000D_
      &lt;setting name="VertexAlphaSourceColumnName" serializeAs="String"&gt;_x000D_
        &lt;value /&gt;_x000D_
      &lt;/setting&gt;_x000D_
      &lt;setting name="VertexLayoutOrderSourceColumnName" serializeAs="String"&gt;_x000D_
        &lt;value /&gt;_x000D_
      &lt;/setting&gt;_x000D_
      &lt;setting name="EdgeVisibilityDetails" serializeAs="String"&gt;_x000D_
        &lt;value&gt;GreaterThan	0	Show	Skip&lt;/value&gt;_x000D_
      &lt;/setting&gt;_x000D_
      &lt;setting name="VertexVisibilitySourceColumnName" serializeAs="String"&gt;_x000D_
        &lt;value /&gt;_x000D_
      &lt;/setting&gt;_x000D_
      &lt;setting name="GroupLabelSourceColumnName" serializeAs="String"&gt;_x000D_
        &lt;value /&gt;_x000D_
      &lt;/setting&gt;_x000D_
      &lt;setting name="EdgeColorSourceColumnName" serializeAs="String"&gt;_x000D_
        &lt;value /&gt;_x000D_
      &lt;/setting&gt;_x000D_
      &lt;setting name="VertexLabelSourceColumnName" serializeAs="String"&gt;_x000D_
        &lt;value /&gt;_x000D_
      &lt;/setting&gt;_x000D_
      &lt;setting name="VertexLabelFillColorSourceColumnName" serializeAs="String"&gt;_x000D_
        &lt;value /&gt;_x000D_
      &lt;/setting&gt;_x000D_
      &lt;setting name="VertexColorDetails" serializeAs="String"&gt;_x000D_
        &lt;value&gt;False	False	0	10	241, 137, 4	46, 7, 195	False	False	True&lt;/value&gt;_x000D_
      &lt;/setting&gt;_x000D_
      &lt;setting name="VertexPolarAngleSourceColumnName" serializeAs="String"&gt;_x000D_
        &lt;value /&gt;_x000D_
      &lt;/setting&gt;_x000D_
      &lt;setting name="VertexPolarRDetails" serializeAs="String"&gt;_x000D_
        &lt;value&gt;False	False	0	0	0	1	False	False&lt;/value&gt;_x000D_
      &lt;/setting&gt;_x000D_
      &lt;setting name="VertexToolTipSourceColumnName" serializeAs="String"&gt;_x000D_
        &lt;value /&gt;_x000D_
      &lt;/setting&gt;_x000D_
      &lt;setting name="EdgeAlphaSourceColumnName" serializeAs="String"&gt;_x000D_
        &lt;value /&gt;_x000D_
      &lt;/setting&gt;_x000D_
      &lt;setting name="VertexLabelPositionSourceColumnName" serializeAs="String"&gt;_x000D_
        &lt;value /&gt;_x000D_
      &lt;/setting&gt;_x000D_
      &lt;setting name="VertexShapeDetails" serializeAs="String"&gt;_x000D_
        &lt;value&gt;GreaterThan	0	Solid Square	Disk&lt;/value&gt;_x000D_
      &lt;/setting&gt;_x000D_
      &lt;setting name="EdgeStyleSourceColumnName" serializeAs="String"&gt;_x000D_
        &lt;value /&gt;_x000D_
      &lt;/setting&gt;_x000D_
      &lt;setting name="VertexLabelFillColorDetails" serializeAs="String"&gt;_x000D_
        &lt;value&gt;False	False	0	10	241, 137, 4	46, 7, 195	False	False	True&lt;/value&gt;_x000D_
      &lt;/setting&gt;_x000D_
      &lt;setting name="VertexYSourceColumnName" serializeAs="String"&gt;_x000D_
        &lt;value /&gt;_x000D_
      &lt;/setting&gt;_x000D_
      &lt;setting name="VertexAlphaDetails" serializeAs="String"&gt;_x000D_
        &lt;value&gt;False	False	0	100	10	100	False	False&lt;/value&gt;_x000D_
      &lt;/setting&gt;_x000D_
      &lt;setting name="EdgeVisibilitySourceColumnName" serializeAs="String"&gt;_x000D_
        &lt;value /&gt;_x000D_
      &lt;/setting&gt;_x000D_
      &lt;setting name="EdgeAlphaDetails" serializeAs="String"&gt;_x000D_
        &lt;value&gt;False	False	0	100	10	100	False	False&lt;/value&gt;_x000D_
      &lt;/setting&gt;_x000D_
      &lt;setting name="VertexVisibilityDetails" serializeAs="String"&gt;_x000D_
        &lt;value&gt;GreaterThan	0	Show if in an Edge	Skip&lt;/value&gt;_x000D_
      &lt;/setting&gt;_x000D_
      &lt;setting name="EdgeWidthDetails" serializeAs="String"&gt;_x000D_
 </t>
  </si>
  <si>
    <t>Workbook Settings 2</t>
  </si>
  <si>
    <t>Column1</t>
  </si>
  <si>
    <t xml:space="preserve">       &lt;value&gt;False	False	1	10	1	10	False	False&lt;/value&gt;_x000D_
      &lt;/setting&gt;_x000D_
      &lt;setting name="VertexXSourceColumnName" serializeAs="String"&gt;_x000D_
        &lt;value /&gt;_x000D_
      &lt;/setting&gt;_x000D_
      &lt;setting name="EdgeColorDetails" serializeAs="String"&gt;_x000D_
        &lt;value&gt;False	False	0	10	241, 137, 4	46, 7, 195	False	False	True&lt;/value&gt;_x000D_
      &lt;/setting&gt;_x000D_
    &lt;/AutoFillUserSettings3&gt;_x000D_
    &lt;GraphZoomAndScaleUserSettings&gt;_x000D_
      &lt;setting name="GraphScale" serializeAs="String"&gt;_x000D_
        &lt;value&gt;0.45&lt;/value&gt;_x000D_
      &lt;/setting&gt;_x000D_
    &lt;/GraphZoomAndScaleUserSettings&gt;_x000D_
    &lt;GeneralUserSettings4&gt;_x000D_
      &lt;setting name="VertexRadius" serializeAs="String"&gt;_x000D_
        &lt;value&gt;1.5&lt;/value&gt;_x000D_
      &lt;/setting&gt;_x000D_
      &lt;setting name="SelectedEdgeColor" serializeAs="String"&gt;_x000D_
        &lt;value&gt;Red&lt;/value&gt;_x000D_
      &lt;/setting&gt;_x000D_
      &lt;setting name="VertexRelativeOuterGlowSize" serializeAs="String"&gt;_x000D_
        &lt;value&gt;3&lt;/value&gt;_x000D_
      &lt;/setting&gt;_x000D_
      &lt;setting name="LabelUserSettings" serializeAs="String"&gt;_x000D_
        &lt;value&gt;Microsoft Sans Serif, 17.25pt, style=Bold	White	BottomCenter	2147483647	2147483647	Black	True	200	Black	86	MiddleCenter	Microsoft Sans Serif, 8.25pt	Microsoft Sans Serif, 14.25pt&lt;/value&gt;_x000D_
      &lt;/setting&gt;_x000D_
      &lt;setting name="VertexAlpha" serializeAs="String"&gt;_x000D_
        &lt;value&gt;100&lt;/value&gt;_x000D_
      &lt;/setting&gt;_x000D_
      &lt;setting name="RelativeArrowSize" serializeAs="String"&gt;_x000D_
        &lt;value&gt;3&lt;/value&gt;_x000D_
      &lt;/setting&gt;_x000D_
      &lt;setting name="VertexShape" serializeAs="String"&gt;_x000D_
        &lt;value&gt;Disk&lt;/value&gt;_x000D_
      &lt;/setting&gt;_x000D_
      &lt;setting name="EdgeWidth" serializeAs="String"&gt;_x000D_
        &lt;value&gt;1&lt;/value&gt;_x000D_
      &lt;/setting&gt;_x000D_
      &lt;setting name="VertexColor" serializeAs="String"&gt;_x000D_
        &lt;value&gt;Black&lt;/value&gt;_x000D_
      &lt;/setting&gt;_x000D_
      &lt;setting name="EdgeAlpha" serializeAs="String"&gt;_x000D_
        &lt;value&gt;100&lt;/value&gt;_x000D_
      &lt;/setting&gt;_x000D_
      &lt;setting name="EdgeCurveStyle" serializeAs="String"&gt;_x000D_
        &lt;value&gt;Straight&lt;/value&gt;_x000D_
      &lt;/setting&gt;_x000D_
      &lt;setting name="BackColor" serializeAs="String"&gt;_x000D_
        &lt;value&gt;White&lt;/value&gt;_x000D_
      &lt;/setting&gt;_x000D_
      &lt;setting name="BackgroundImageUri" serializeAs="String"&gt;_x000D_
        &lt;value /&gt;_x000D_
      &lt;/setting&gt;_x000D_
      &lt;setting name="SelectedVertexColor" serializeAs="String"&gt;_x000D_
        &lt;value&gt;Red&lt;/value&gt;_x000D_
      &lt;/setting&gt;_x000D_
      &lt;setting name="EdgeBezierDisplacementFactor" serializeAs="String"&gt;_x000D_
        &lt;value&gt;0.2&lt;/value&gt;_x000D_
      &lt;/setting&gt;_x000D_
      &lt;setting name="AutoSelect" serializeAs="String"&gt;_x000D_
        &lt;value&gt;True&lt;/value&gt;_x000D_
      &lt;/setting&gt;_x000D_
      &lt;setting name="AutoReadWorkbook" serializeAs="String"&gt;_x000D_
        &lt;value&gt;True&lt;/value&gt;_x000D_
      &lt;/setting&gt;_x000D_
      &lt;setting name="VertexEffect" serializeAs="String"&gt;_x000D_
        &lt;value&gt;None&lt;/value&gt;_x000D_
      &lt;/setting&gt;_x000D_
      &lt;setting name="VertexImageSize" serializeAs="String"&gt;_x000D_
        &lt;value&gt;100&lt;/value&gt;_x000D_
      &lt;/setting&gt;_x000D_
      &lt;setting name="AxisFont" serializeAs="String"&gt;_x000D_
        &lt;value&gt;Microsoft Sans Serif, 8.25pt&lt;/value&gt;_x000D_
      &lt;/setting&gt;_x000D_
      &lt;setting name="EdgeBundlerStraightening" serializeAs="String"&gt;_x000D_
        &lt;value&gt;0.15&lt;/value&gt;_x000D_
      &lt;/setting&gt;_x000D_
      &lt;setting name="EdgeColor" serializeAs="String"&gt;_x000D_
        &lt;value&gt;Gray&lt;/value&gt;_x000D_
      &lt;/setting&gt;_x000D_
      &lt;setting name="ShowGraphLegend" serializeAs="String"&gt;_x000D_
        &lt;value&gt;False&lt;/value&gt;_x000D_
      &lt;/setting&gt;_x000D_
      &lt;setting name="ReadVertexLabels" serializeAs="String"&gt;_x000D_
        &lt;value&gt;True&lt;/value&gt;_x000D_
      &lt;/setting&gt;_x000D_
      &lt;setting name="ReadEdgeLabels" serializeAs="String"&gt;_x000D_
        &lt;value&gt;True&lt;/value&gt;_x000D_
      &lt;/setting&gt;_x000D_
      &lt;setting name="ReadGroupLabels" serializeAs="String"&gt;_x000D_
        &lt;value&gt;True&lt;/value&gt;_x000D_
      &lt;/setting&gt;_x000D_
      &lt;setting name="ShowGraphAxes" serializeAs="String"&gt;_x000D_
        &lt;value&gt;False&lt;/value&gt;_x000D_
      &lt;/setting&gt;_x000D_
    &lt;/GeneralUserSettings4&gt;_x000D_
    &lt;LayoutUserSettings&gt;_x000D_
      &lt;setting name="Layout" serializeAs="String"&gt;_x000D_
        &lt;value&gt;HarelKorenFastMultiscale&lt;/value&gt;_x000D_
      &lt;/setting&gt;_x000D_
    &lt;/LayoutUserSettings&gt;_x000D_
  &lt;/userSettings&gt;_x000D_
&lt;/configuration&gt;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</si>
</sst>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00"/>
    <numFmt numFmtId="167" formatCode="0.000"/>
  </numFmts>
  <fonts count="13"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9">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
      <font>
        <b/>
        <i val="0"/>
      </font>
      <fill>
        <patternFill>
          <bgColor rgb="FFD7D7D7"/>
        </patternFill>
      </fill>
    </dxf>
    <dxf>
      <font>
        <b val="0"/>
        <i val="0"/>
      </font>
      <fill>
        <patternFill patternType="none">
          <bgColor indexed="65"/>
        </patternFill>
      </fill>
    </dxf>
  </dxfs>
  <tableStyles count="2" defaultTableStyle="TableStyleMedium9" defaultPivotStyle="PivotStyleLight16">
    <tableStyle name="MySqlDefault" pivot="0" table="0" count="2">
      <tableStyleElement type="wholeTable" dxfId="98"/>
      <tableStyleElement type="headerRow" dxfId="97"/>
    </tableStyle>
    <tableStyle name="NodeXL Table" pivot="0" count="1">
      <tableStyleElement type="header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DAC0-478B-966F-C7C2AD7CF11F}"/>
            </c:ext>
          </c:extLst>
        </c:ser>
        <c:dLbls>
          <c:showLegendKey val="0"/>
          <c:showVal val="0"/>
          <c:showCatName val="0"/>
          <c:showSerName val="0"/>
          <c:showPercent val="0"/>
          <c:showBubbleSize val="0"/>
        </c:dLbls>
        <c:gapWidth val="0"/>
        <c:axId val="-1133292176"/>
        <c:axId val="-1133286192"/>
      </c:barChart>
      <c:catAx>
        <c:axId val="-113329217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33286192"/>
        <c:crosses val="autoZero"/>
        <c:auto val="1"/>
        <c:lblAlgn val="ctr"/>
        <c:lblOffset val="100"/>
        <c:noMultiLvlLbl val="0"/>
      </c:catAx>
      <c:valAx>
        <c:axId val="-11332861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21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A43C-469D-92B2-DC2231FA0FE1}"/>
            </c:ext>
          </c:extLst>
        </c:ser>
        <c:dLbls>
          <c:showLegendKey val="0"/>
          <c:showVal val="0"/>
          <c:showCatName val="0"/>
          <c:showSerName val="0"/>
          <c:showPercent val="0"/>
          <c:showBubbleSize val="0"/>
        </c:dLbls>
        <c:gapWidth val="0"/>
        <c:axId val="-1133298704"/>
        <c:axId val="-1133276944"/>
      </c:barChart>
      <c:catAx>
        <c:axId val="-1133298704"/>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33276944"/>
        <c:crosses val="autoZero"/>
        <c:auto val="1"/>
        <c:lblAlgn val="ctr"/>
        <c:lblOffset val="100"/>
        <c:noMultiLvlLbl val="0"/>
      </c:catAx>
      <c:valAx>
        <c:axId val="-11332769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87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3A45-4EC2-8673-4F6849A9A735}"/>
            </c:ext>
          </c:extLst>
        </c:ser>
        <c:dLbls>
          <c:showLegendKey val="0"/>
          <c:showVal val="0"/>
          <c:showCatName val="0"/>
          <c:showSerName val="0"/>
          <c:showPercent val="0"/>
          <c:showBubbleSize val="0"/>
        </c:dLbls>
        <c:gapWidth val="0"/>
        <c:axId val="-1133280752"/>
        <c:axId val="-1133280208"/>
      </c:barChart>
      <c:catAx>
        <c:axId val="-1133280752"/>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1133280208"/>
        <c:crosses val="autoZero"/>
        <c:auto val="1"/>
        <c:lblAlgn val="ctr"/>
        <c:lblOffset val="100"/>
        <c:noMultiLvlLbl val="0"/>
      </c:catAx>
      <c:valAx>
        <c:axId val="-11332802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075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E61C-4159-A6C2-0DEFF39B92F9}"/>
            </c:ext>
          </c:extLst>
        </c:ser>
        <c:dLbls>
          <c:showLegendKey val="0"/>
          <c:showVal val="0"/>
          <c:showCatName val="0"/>
          <c:showSerName val="0"/>
          <c:showPercent val="0"/>
          <c:showBubbleSize val="0"/>
        </c:dLbls>
        <c:gapWidth val="0"/>
        <c:axId val="-1133290544"/>
        <c:axId val="-1133274768"/>
      </c:barChart>
      <c:catAx>
        <c:axId val="-113329054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1133274768"/>
        <c:crosses val="autoZero"/>
        <c:auto val="1"/>
        <c:lblAlgn val="ctr"/>
        <c:lblOffset val="100"/>
        <c:noMultiLvlLbl val="0"/>
      </c:catAx>
      <c:valAx>
        <c:axId val="-11332747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054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3F1A-4542-86EE-45980945CEB7}"/>
            </c:ext>
          </c:extLst>
        </c:ser>
        <c:dLbls>
          <c:showLegendKey val="0"/>
          <c:showVal val="0"/>
          <c:showCatName val="0"/>
          <c:showSerName val="0"/>
          <c:showPercent val="0"/>
          <c:showBubbleSize val="0"/>
        </c:dLbls>
        <c:gapWidth val="0"/>
        <c:axId val="-1133285648"/>
        <c:axId val="-1133299248"/>
      </c:barChart>
      <c:catAx>
        <c:axId val="-1133285648"/>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1133299248"/>
        <c:crosses val="autoZero"/>
        <c:auto val="1"/>
        <c:lblAlgn val="ctr"/>
        <c:lblOffset val="100"/>
        <c:noMultiLvlLbl val="0"/>
      </c:catAx>
      <c:valAx>
        <c:axId val="-11332992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564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133C-4BD9-A634-C45F58DF6C96}"/>
            </c:ext>
          </c:extLst>
        </c:ser>
        <c:dLbls>
          <c:showLegendKey val="0"/>
          <c:showVal val="0"/>
          <c:showCatName val="0"/>
          <c:showSerName val="0"/>
          <c:showPercent val="0"/>
          <c:showBubbleSize val="0"/>
        </c:dLbls>
        <c:gapWidth val="0"/>
        <c:axId val="-1133278576"/>
        <c:axId val="-1133288912"/>
      </c:barChart>
      <c:catAx>
        <c:axId val="-1133278576"/>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1133288912"/>
        <c:crosses val="autoZero"/>
        <c:auto val="1"/>
        <c:lblAlgn val="ctr"/>
        <c:lblOffset val="100"/>
        <c:noMultiLvlLbl val="0"/>
      </c:catAx>
      <c:valAx>
        <c:axId val="-11332889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85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2C17-4665-9CD3-78C91BFD8670}"/>
            </c:ext>
          </c:extLst>
        </c:ser>
        <c:dLbls>
          <c:showLegendKey val="0"/>
          <c:showVal val="0"/>
          <c:showCatName val="0"/>
          <c:showSerName val="0"/>
          <c:showPercent val="0"/>
          <c:showBubbleSize val="0"/>
        </c:dLbls>
        <c:gapWidth val="0"/>
        <c:axId val="-1133276400"/>
        <c:axId val="-1133297616"/>
      </c:barChart>
      <c:catAx>
        <c:axId val="-1133276400"/>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1133297616"/>
        <c:crosses val="autoZero"/>
        <c:auto val="1"/>
        <c:lblAlgn val="ctr"/>
        <c:lblOffset val="100"/>
        <c:noMultiLvlLbl val="0"/>
      </c:catAx>
      <c:valAx>
        <c:axId val="-113329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640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3E37-43B6-A9DC-6CBC18A68720}"/>
            </c:ext>
          </c:extLst>
        </c:ser>
        <c:dLbls>
          <c:showLegendKey val="0"/>
          <c:showVal val="0"/>
          <c:showCatName val="0"/>
          <c:showSerName val="0"/>
          <c:showPercent val="0"/>
          <c:showBubbleSize val="0"/>
        </c:dLbls>
        <c:gapWidth val="0"/>
        <c:axId val="-1133274224"/>
        <c:axId val="-1133273680"/>
      </c:barChart>
      <c:catAx>
        <c:axId val="-113327422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33273680"/>
        <c:crosses val="autoZero"/>
        <c:auto val="1"/>
        <c:lblAlgn val="ctr"/>
        <c:lblOffset val="100"/>
        <c:noMultiLvlLbl val="0"/>
      </c:catAx>
      <c:valAx>
        <c:axId val="-11332736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422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1FD7-400E-ADE0-31D82CF0CCD5}"/>
            </c:ext>
          </c:extLst>
        </c:ser>
        <c:dLbls>
          <c:showLegendKey val="0"/>
          <c:showVal val="0"/>
          <c:showCatName val="0"/>
          <c:showSerName val="0"/>
          <c:showPercent val="0"/>
          <c:showBubbleSize val="0"/>
        </c:dLbls>
        <c:gapWidth val="0"/>
        <c:axId val="-1133294352"/>
        <c:axId val="-1133287824"/>
      </c:barChart>
      <c:catAx>
        <c:axId val="-1133294352"/>
        <c:scaling>
          <c:orientation val="minMax"/>
        </c:scaling>
        <c:delete val="1"/>
        <c:axPos val="b"/>
        <c:numFmt formatCode="#,##0.00" sourceLinked="1"/>
        <c:majorTickMark val="out"/>
        <c:minorTickMark val="none"/>
        <c:tickLblPos val="none"/>
        <c:crossAx val="-1133287824"/>
        <c:crosses val="autoZero"/>
        <c:auto val="1"/>
        <c:lblAlgn val="ctr"/>
        <c:lblOffset val="100"/>
        <c:noMultiLvlLbl val="0"/>
      </c:catAx>
      <c:valAx>
        <c:axId val="-1133287824"/>
        <c:scaling>
          <c:orientation val="minMax"/>
        </c:scaling>
        <c:delete val="1"/>
        <c:axPos val="l"/>
        <c:numFmt formatCode="General" sourceLinked="1"/>
        <c:majorTickMark val="out"/>
        <c:minorTickMark val="none"/>
        <c:tickLblPos val="none"/>
        <c:crossAx val="-1133294352"/>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Column1"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3" totalsRowShown="0" headerRowDxfId="79" dataDxfId="78">
  <autoFilter ref="A2:AC3"/>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centrality"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9" totalsRowShown="0" headerRowDxfId="1">
  <autoFilter ref="J1:K9"/>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3"/>
  <sheetViews>
    <sheetView workbookViewId="0">
      <pane xSplit="2" ySplit="2" topLeftCell="K3" activePane="bottomRight" state="frozen"/>
      <selection pane="topRight" activeCell="C1" sqref="C1"/>
      <selection pane="bottomLeft" activeCell="A3" sqref="A3"/>
      <selection pane="bottomRight" activeCell="N2" sqref="N2"/>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x14ac:dyDescent="0.25">
      <c r="C1" s="18" t="s">
        <v>39</v>
      </c>
      <c r="D1" s="19"/>
      <c r="E1" s="19"/>
      <c r="F1" s="19"/>
      <c r="G1" s="18"/>
      <c r="H1" s="16" t="s">
        <v>43</v>
      </c>
      <c r="I1" s="66"/>
      <c r="J1" s="66"/>
      <c r="K1" s="35" t="s">
        <v>42</v>
      </c>
      <c r="L1" s="20" t="s">
        <v>40</v>
      </c>
      <c r="M1" s="20"/>
      <c r="N1" s="17" t="s">
        <v>41</v>
      </c>
    </row>
    <row r="2" spans="1:14" ht="30" customHeight="1" x14ac:dyDescent="0.25">
      <c r="A2" s="11" t="s">
        <v>0</v>
      </c>
      <c r="B2" s="11" t="s">
        <v>1</v>
      </c>
      <c r="C2" s="13" t="s">
        <v>2</v>
      </c>
      <c r="D2" s="13" t="s">
        <v>3</v>
      </c>
      <c r="E2" s="13" t="s">
        <v>130</v>
      </c>
      <c r="F2" s="13" t="s">
        <v>4</v>
      </c>
      <c r="G2" s="13" t="s">
        <v>11</v>
      </c>
      <c r="H2" s="11" t="s">
        <v>46</v>
      </c>
      <c r="I2" s="13" t="s">
        <v>160</v>
      </c>
      <c r="J2" s="13" t="s">
        <v>161</v>
      </c>
      <c r="K2" s="13" t="s">
        <v>165</v>
      </c>
      <c r="L2" s="13" t="s">
        <v>12</v>
      </c>
      <c r="M2" s="13" t="s">
        <v>38</v>
      </c>
      <c r="N2" s="13" t="s">
        <v>181</v>
      </c>
    </row>
    <row r="3" spans="1:14" ht="15" customHeight="1" x14ac:dyDescent="0.25">
      <c r="A3" s="50"/>
      <c r="B3" s="50"/>
      <c r="C3" s="54"/>
      <c r="D3" s="55"/>
      <c r="E3" s="67"/>
      <c r="F3" s="56"/>
      <c r="G3" s="54"/>
      <c r="H3" s="58"/>
      <c r="I3" s="57"/>
      <c r="J3" s="57"/>
      <c r="K3" s="69"/>
      <c r="L3" s="63"/>
      <c r="M3" s="63"/>
      <c r="N3" s="64"/>
    </row>
    <row r="4" spans="1:14" ht="15" customHeight="1" x14ac:dyDescent="0.25"/>
    <row r="23" spans="13:13" x14ac:dyDescent="0.25">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H3"/>
  <sheetViews>
    <sheetView tabSelected="1" workbookViewId="0">
      <pane xSplit="1" ySplit="2" topLeftCell="AA3" activePane="bottomRight" state="frozen"/>
      <selection pane="topRight" activeCell="B1" sqref="B1"/>
      <selection pane="bottomLeft" activeCell="A3" sqref="A3"/>
      <selection pane="bottomRight" activeCell="AG13" sqref="AG13"/>
    </sheetView>
  </sheetViews>
  <sheetFormatPr defaultRowHeight="15" x14ac:dyDescent="0.2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x14ac:dyDescent="0.25">
      <c r="B1" s="25" t="s">
        <v>39</v>
      </c>
      <c r="C1" s="18"/>
      <c r="D1" s="18"/>
      <c r="E1" s="18"/>
      <c r="F1" s="18"/>
      <c r="G1" s="18"/>
      <c r="H1" s="27" t="s">
        <v>43</v>
      </c>
      <c r="I1" s="26"/>
      <c r="J1" s="26"/>
      <c r="K1" s="26"/>
      <c r="L1" s="29" t="s">
        <v>44</v>
      </c>
      <c r="M1" s="28"/>
      <c r="N1" s="28"/>
      <c r="O1" s="28"/>
      <c r="P1" s="28"/>
      <c r="Q1" s="28"/>
      <c r="R1" s="24" t="s">
        <v>42</v>
      </c>
      <c r="S1" s="21"/>
      <c r="T1" s="22"/>
      <c r="U1" s="23"/>
      <c r="V1" s="21"/>
      <c r="W1" s="21"/>
      <c r="X1" s="21"/>
      <c r="Y1" s="21"/>
      <c r="Z1" s="21"/>
      <c r="AA1" s="30" t="s">
        <v>40</v>
      </c>
      <c r="AB1" s="20"/>
      <c r="AC1" s="31" t="s">
        <v>41</v>
      </c>
      <c r="AD1"/>
      <c r="AE1"/>
      <c r="AF1"/>
      <c r="AG1"/>
      <c r="AH1"/>
    </row>
    <row r="2" spans="1:34" ht="30" customHeight="1" x14ac:dyDescent="0.25">
      <c r="A2" s="11" t="s">
        <v>5</v>
      </c>
      <c r="B2" s="8" t="s">
        <v>2</v>
      </c>
      <c r="C2" s="8" t="s">
        <v>8</v>
      </c>
      <c r="D2" s="9" t="s">
        <v>45</v>
      </c>
      <c r="E2" s="10" t="s">
        <v>4</v>
      </c>
      <c r="F2" s="8" t="s">
        <v>48</v>
      </c>
      <c r="G2" s="8" t="s">
        <v>11</v>
      </c>
      <c r="H2" s="8" t="s">
        <v>46</v>
      </c>
      <c r="I2" s="8" t="s">
        <v>47</v>
      </c>
      <c r="J2" s="8" t="s">
        <v>77</v>
      </c>
      <c r="K2" s="8" t="s">
        <v>10</v>
      </c>
      <c r="L2" s="8" t="s">
        <v>26</v>
      </c>
      <c r="M2" s="8" t="s">
        <v>15</v>
      </c>
      <c r="N2" s="8" t="s">
        <v>16</v>
      </c>
      <c r="O2" s="8" t="s">
        <v>13</v>
      </c>
      <c r="P2" s="8" t="s">
        <v>27</v>
      </c>
      <c r="Q2" s="8" t="s">
        <v>28</v>
      </c>
      <c r="R2" s="13" t="s">
        <v>31</v>
      </c>
      <c r="S2" s="13" t="s">
        <v>32</v>
      </c>
      <c r="T2" s="13" t="s">
        <v>33</v>
      </c>
      <c r="U2" s="13" t="s">
        <v>34</v>
      </c>
      <c r="V2" s="13" t="s">
        <v>35</v>
      </c>
      <c r="W2" s="13" t="s">
        <v>36</v>
      </c>
      <c r="X2" s="13" t="s">
        <v>137</v>
      </c>
      <c r="Y2" s="13" t="s">
        <v>37</v>
      </c>
      <c r="Z2" s="13" t="s">
        <v>170</v>
      </c>
      <c r="AA2" s="11" t="s">
        <v>12</v>
      </c>
      <c r="AB2" s="11" t="s">
        <v>38</v>
      </c>
      <c r="AC2" s="8" t="s">
        <v>176</v>
      </c>
      <c r="AD2" s="3"/>
      <c r="AF2"/>
      <c r="AG2"/>
      <c r="AH2"/>
    </row>
    <row r="3" spans="1:34" ht="15" customHeight="1" x14ac:dyDescent="0.25">
      <c r="A3" s="50"/>
      <c r="B3" s="54"/>
      <c r="C3" s="54"/>
      <c r="D3" s="55"/>
      <c r="E3" s="56"/>
      <c r="F3" s="54"/>
      <c r="G3" s="54"/>
      <c r="H3" s="58"/>
      <c r="I3" s="57"/>
      <c r="J3" s="57"/>
      <c r="K3" s="58"/>
      <c r="L3" s="60"/>
      <c r="M3" s="61"/>
      <c r="N3" s="61"/>
      <c r="O3" s="59"/>
      <c r="P3" s="62"/>
      <c r="Q3" s="62"/>
      <c r="R3" s="51"/>
      <c r="S3" s="51"/>
      <c r="T3" s="51"/>
      <c r="U3" s="51"/>
      <c r="V3" s="52"/>
      <c r="W3" s="52"/>
      <c r="X3" s="53"/>
      <c r="Y3" s="52"/>
      <c r="Z3" s="52"/>
      <c r="AA3" s="63"/>
      <c r="AB3" s="63"/>
      <c r="AC3" s="64"/>
      <c r="AD3" s="3"/>
      <c r="AF3"/>
      <c r="AG3"/>
      <c r="AH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B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49</v>
      </c>
    </row>
    <row r="2" spans="1:1" ht="15" customHeight="1" x14ac:dyDescent="0.25"/>
    <row r="3" spans="1:1" ht="15" customHeight="1" x14ac:dyDescent="0.25">
      <c r="A3" s="32" t="s">
        <v>50</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0"/>
  <sheetViews>
    <sheetView workbookViewId="0">
      <pane ySplit="2" topLeftCell="A3" activePane="bottomLeft" state="frozen"/>
      <selection pane="bottomLeft" activeCell="A3" sqref="A3"/>
    </sheetView>
  </sheetViews>
  <sheetFormatPr defaultRowHeight="15" x14ac:dyDescent="0.2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x14ac:dyDescent="0.25">
      <c r="B1" s="70" t="s">
        <v>39</v>
      </c>
      <c r="C1" s="71"/>
      <c r="D1" s="71"/>
      <c r="E1" s="72"/>
      <c r="F1" s="68" t="s">
        <v>43</v>
      </c>
      <c r="G1" s="73" t="s">
        <v>44</v>
      </c>
      <c r="H1" s="74"/>
      <c r="I1" s="75" t="s">
        <v>40</v>
      </c>
      <c r="J1" s="76"/>
      <c r="K1" s="77" t="s">
        <v>42</v>
      </c>
      <c r="L1" s="78"/>
      <c r="M1" s="78"/>
      <c r="N1" s="78"/>
      <c r="O1" s="78"/>
      <c r="P1" s="78"/>
      <c r="Q1" s="78"/>
      <c r="R1" s="78"/>
      <c r="S1" s="78"/>
      <c r="T1" s="78"/>
      <c r="U1" s="78"/>
      <c r="V1" s="78"/>
      <c r="W1" s="78"/>
      <c r="X1" s="78"/>
    </row>
    <row r="2" spans="1:24" s="13" customFormat="1" ht="30" customHeight="1" x14ac:dyDescent="0.25">
      <c r="A2" s="11" t="s">
        <v>144</v>
      </c>
      <c r="B2" s="13" t="s">
        <v>21</v>
      </c>
      <c r="C2" s="13" t="s">
        <v>20</v>
      </c>
      <c r="D2" s="13" t="s">
        <v>11</v>
      </c>
      <c r="E2" s="13" t="s">
        <v>145</v>
      </c>
      <c r="F2" s="13" t="s">
        <v>46</v>
      </c>
      <c r="G2" s="13" t="s">
        <v>167</v>
      </c>
      <c r="H2" s="13" t="s">
        <v>168</v>
      </c>
      <c r="I2" s="13" t="s">
        <v>12</v>
      </c>
      <c r="J2" s="13" t="s">
        <v>166</v>
      </c>
      <c r="K2" s="13" t="s">
        <v>146</v>
      </c>
      <c r="L2" s="13" t="s">
        <v>148</v>
      </c>
      <c r="M2" s="13" t="s">
        <v>149</v>
      </c>
      <c r="N2" s="13" t="s">
        <v>150</v>
      </c>
      <c r="O2" s="13" t="s">
        <v>151</v>
      </c>
      <c r="P2" s="13" t="s">
        <v>170</v>
      </c>
      <c r="Q2" s="13" t="s">
        <v>171</v>
      </c>
      <c r="R2" s="13" t="s">
        <v>152</v>
      </c>
      <c r="S2" s="13" t="s">
        <v>153</v>
      </c>
      <c r="T2" s="13" t="s">
        <v>154</v>
      </c>
      <c r="U2" s="13" t="s">
        <v>155</v>
      </c>
      <c r="V2" s="13" t="s">
        <v>156</v>
      </c>
      <c r="W2" s="13" t="s">
        <v>157</v>
      </c>
      <c r="X2" s="13" t="s">
        <v>158</v>
      </c>
    </row>
    <row r="3" spans="1:24" x14ac:dyDescent="0.25">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x14ac:dyDescent="0.25"/>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144</v>
      </c>
      <c r="B1" s="1" t="s">
        <v>5</v>
      </c>
      <c r="C1" s="1" t="s">
        <v>147</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4"/>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3" t="s">
        <v>162</v>
      </c>
      <c r="B1" s="13" t="s">
        <v>17</v>
      </c>
      <c r="D1" t="s">
        <v>79</v>
      </c>
      <c r="E1" t="s">
        <v>80</v>
      </c>
      <c r="F1" s="37" t="s">
        <v>86</v>
      </c>
      <c r="G1" s="38" t="s">
        <v>87</v>
      </c>
      <c r="H1" s="37" t="s">
        <v>92</v>
      </c>
      <c r="I1" s="38" t="s">
        <v>93</v>
      </c>
      <c r="J1" s="37" t="s">
        <v>98</v>
      </c>
      <c r="K1" s="38" t="s">
        <v>99</v>
      </c>
      <c r="L1" s="37" t="s">
        <v>104</v>
      </c>
      <c r="M1" s="38" t="s">
        <v>105</v>
      </c>
      <c r="N1" s="37" t="s">
        <v>110</v>
      </c>
      <c r="O1" s="38" t="s">
        <v>111</v>
      </c>
      <c r="P1" s="38" t="s">
        <v>138</v>
      </c>
      <c r="Q1" s="38" t="s">
        <v>139</v>
      </c>
      <c r="R1" s="37" t="s">
        <v>116</v>
      </c>
      <c r="S1" s="37" t="s">
        <v>117</v>
      </c>
      <c r="T1" s="37" t="s">
        <v>122</v>
      </c>
      <c r="U1" s="38" t="s">
        <v>123</v>
      </c>
      <c r="W1" t="s">
        <v>127</v>
      </c>
      <c r="X1" t="s">
        <v>17</v>
      </c>
    </row>
    <row r="2" spans="1:24" ht="15.75" thickTop="1" x14ac:dyDescent="0.25">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124</v>
      </c>
      <c r="X2">
        <f>ROWS(HistogramBins[Degree Bin]) - 1</f>
        <v>43</v>
      </c>
    </row>
    <row r="3" spans="1:24" x14ac:dyDescent="0.25">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125</v>
      </c>
      <c r="X3" t="s">
        <v>85</v>
      </c>
    </row>
    <row r="4" spans="1:24" x14ac:dyDescent="0.25">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126</v>
      </c>
      <c r="X4" s="12" t="s">
        <v>128</v>
      </c>
    </row>
    <row r="5" spans="1:24" x14ac:dyDescent="0.25">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x14ac:dyDescent="0.25">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x14ac:dyDescent="0.25">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x14ac:dyDescent="0.25">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x14ac:dyDescent="0.25">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x14ac:dyDescent="0.25">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x14ac:dyDescent="0.25">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x14ac:dyDescent="0.25">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x14ac:dyDescent="0.25">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x14ac:dyDescent="0.25">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x14ac:dyDescent="0.25">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x14ac:dyDescent="0.25">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x14ac:dyDescent="0.25">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x14ac:dyDescent="0.25">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x14ac:dyDescent="0.25">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x14ac:dyDescent="0.25">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x14ac:dyDescent="0.25">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x14ac:dyDescent="0.25">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x14ac:dyDescent="0.25">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x14ac:dyDescent="0.25">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x14ac:dyDescent="0.25">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x14ac:dyDescent="0.25">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x14ac:dyDescent="0.25">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x14ac:dyDescent="0.25">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x14ac:dyDescent="0.25">
      <c r="A29" t="s">
        <v>163</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x14ac:dyDescent="0.25">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x14ac:dyDescent="0.25">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x14ac:dyDescent="0.25">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x14ac:dyDescent="0.25">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x14ac:dyDescent="0.25">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x14ac:dyDescent="0.25">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x14ac:dyDescent="0.25">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x14ac:dyDescent="0.25">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x14ac:dyDescent="0.25">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x14ac:dyDescent="0.25">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x14ac:dyDescent="0.25">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x14ac:dyDescent="0.25">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x14ac:dyDescent="0.25">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x14ac:dyDescent="0.25">
      <c r="A43" s="35" t="s">
        <v>81</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x14ac:dyDescent="0.25">
      <c r="A44" s="35" t="s">
        <v>82</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x14ac:dyDescent="0.25">
      <c r="A45" s="35" t="s">
        <v>83</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x14ac:dyDescent="0.25">
      <c r="A46" s="35" t="s">
        <v>84</v>
      </c>
      <c r="B46" s="49" t="str">
        <f>IFERROR(MEDIAN(Vertices[Degree]),NoMetricMessage)</f>
        <v>Not Available</v>
      </c>
    </row>
    <row r="57" spans="1:2" x14ac:dyDescent="0.25">
      <c r="A57" s="35" t="s">
        <v>88</v>
      </c>
      <c r="B57" s="48" t="str">
        <f>IF(COUNT(Vertices[In-Degree])&gt;0, F2, NoMetricMessage)</f>
        <v>Not Available</v>
      </c>
    </row>
    <row r="58" spans="1:2" x14ac:dyDescent="0.25">
      <c r="A58" s="35" t="s">
        <v>89</v>
      </c>
      <c r="B58" s="48" t="str">
        <f>IF(COUNT(Vertices[In-Degree])&gt;0, F45, NoMetricMessage)</f>
        <v>Not Available</v>
      </c>
    </row>
    <row r="59" spans="1:2" x14ac:dyDescent="0.25">
      <c r="A59" s="35" t="s">
        <v>90</v>
      </c>
      <c r="B59" s="49" t="str">
        <f>IFERROR(AVERAGE(Vertices[In-Degree]),NoMetricMessage)</f>
        <v>Not Available</v>
      </c>
    </row>
    <row r="60" spans="1:2" x14ac:dyDescent="0.25">
      <c r="A60" s="35" t="s">
        <v>91</v>
      </c>
      <c r="B60" s="49" t="str">
        <f>IFERROR(MEDIAN(Vertices[In-Degree]),NoMetricMessage)</f>
        <v>Not Available</v>
      </c>
    </row>
    <row r="71" spans="1:2" x14ac:dyDescent="0.25">
      <c r="A71" s="35" t="s">
        <v>94</v>
      </c>
      <c r="B71" s="48" t="str">
        <f>IF(COUNT(Vertices[Out-Degree])&gt;0, H2, NoMetricMessage)</f>
        <v>Not Available</v>
      </c>
    </row>
    <row r="72" spans="1:2" x14ac:dyDescent="0.25">
      <c r="A72" s="35" t="s">
        <v>95</v>
      </c>
      <c r="B72" s="48" t="str">
        <f>IF(COUNT(Vertices[Out-Degree])&gt;0, H45, NoMetricMessage)</f>
        <v>Not Available</v>
      </c>
    </row>
    <row r="73" spans="1:2" x14ac:dyDescent="0.25">
      <c r="A73" s="35" t="s">
        <v>96</v>
      </c>
      <c r="B73" s="49" t="str">
        <f>IFERROR(AVERAGE(Vertices[Out-Degree]),NoMetricMessage)</f>
        <v>Not Available</v>
      </c>
    </row>
    <row r="74" spans="1:2" x14ac:dyDescent="0.25">
      <c r="A74" s="35" t="s">
        <v>97</v>
      </c>
      <c r="B74" s="49" t="str">
        <f>IFERROR(MEDIAN(Vertices[Out-Degree]),NoMetricMessage)</f>
        <v>Not Available</v>
      </c>
    </row>
    <row r="85" spans="1:2" x14ac:dyDescent="0.25">
      <c r="A85" s="35" t="s">
        <v>100</v>
      </c>
      <c r="B85" s="49" t="str">
        <f>IF(COUNT(Vertices[Betweenness Centrality])&gt;0, J2, NoMetricMessage)</f>
        <v>Not Available</v>
      </c>
    </row>
    <row r="86" spans="1:2" x14ac:dyDescent="0.25">
      <c r="A86" s="35" t="s">
        <v>101</v>
      </c>
      <c r="B86" s="49" t="str">
        <f>IF(COUNT(Vertices[Betweenness Centrality])&gt;0, J45, NoMetricMessage)</f>
        <v>Not Available</v>
      </c>
    </row>
    <row r="87" spans="1:2" x14ac:dyDescent="0.25">
      <c r="A87" s="35" t="s">
        <v>102</v>
      </c>
      <c r="B87" s="49" t="str">
        <f>IFERROR(AVERAGE(Vertices[Betweenness Centrality]),NoMetricMessage)</f>
        <v>Not Available</v>
      </c>
    </row>
    <row r="88" spans="1:2" x14ac:dyDescent="0.25">
      <c r="A88" s="35" t="s">
        <v>103</v>
      </c>
      <c r="B88" s="49" t="str">
        <f>IFERROR(MEDIAN(Vertices[Betweenness Centrality]),NoMetricMessage)</f>
        <v>Not Available</v>
      </c>
    </row>
    <row r="99" spans="1:2" x14ac:dyDescent="0.25">
      <c r="A99" s="35" t="s">
        <v>106</v>
      </c>
      <c r="B99" s="49" t="str">
        <f>IF(COUNT(Vertices[Closeness Centrality])&gt;0, L2, NoMetricMessage)</f>
        <v>Not Available</v>
      </c>
    </row>
    <row r="100" spans="1:2" x14ac:dyDescent="0.25">
      <c r="A100" s="35" t="s">
        <v>107</v>
      </c>
      <c r="B100" s="49" t="str">
        <f>IF(COUNT(Vertices[Closeness Centrality])&gt;0, L45, NoMetricMessage)</f>
        <v>Not Available</v>
      </c>
    </row>
    <row r="101" spans="1:2" x14ac:dyDescent="0.25">
      <c r="A101" s="35" t="s">
        <v>108</v>
      </c>
      <c r="B101" s="49" t="str">
        <f>IFERROR(AVERAGE(Vertices[Closeness Centrality]),NoMetricMessage)</f>
        <v>Not Available</v>
      </c>
    </row>
    <row r="102" spans="1:2" x14ac:dyDescent="0.25">
      <c r="A102" s="35" t="s">
        <v>109</v>
      </c>
      <c r="B102" s="49" t="str">
        <f>IFERROR(MEDIAN(Vertices[Closeness Centrality]),NoMetricMessage)</f>
        <v>Not Available</v>
      </c>
    </row>
    <row r="113" spans="1:2" x14ac:dyDescent="0.25">
      <c r="A113" s="35" t="s">
        <v>112</v>
      </c>
      <c r="B113" s="49" t="str">
        <f>IF(COUNT(Vertices[Eigenvector Centrality])&gt;0, N2, NoMetricMessage)</f>
        <v>Not Available</v>
      </c>
    </row>
    <row r="114" spans="1:2" x14ac:dyDescent="0.25">
      <c r="A114" s="35" t="s">
        <v>113</v>
      </c>
      <c r="B114" s="49" t="str">
        <f>IF(COUNT(Vertices[Eigenvector Centrality])&gt;0, N45, NoMetricMessage)</f>
        <v>Not Available</v>
      </c>
    </row>
    <row r="115" spans="1:2" x14ac:dyDescent="0.25">
      <c r="A115" s="35" t="s">
        <v>114</v>
      </c>
      <c r="B115" s="49" t="str">
        <f>IFERROR(AVERAGE(Vertices[Eigenvector Centrality]),NoMetricMessage)</f>
        <v>Not Available</v>
      </c>
    </row>
    <row r="116" spans="1:2" x14ac:dyDescent="0.25">
      <c r="A116" s="35" t="s">
        <v>115</v>
      </c>
      <c r="B116" s="49" t="str">
        <f>IFERROR(MEDIAN(Vertices[Eigenvector Centrality]),NoMetricMessage)</f>
        <v>Not Available</v>
      </c>
    </row>
    <row r="127" spans="1:2" x14ac:dyDescent="0.25">
      <c r="A127" s="35" t="s">
        <v>140</v>
      </c>
      <c r="B127" s="49" t="str">
        <f>IF(COUNT(Vertices[PageRank])&gt;0, P2, NoMetricMessage)</f>
        <v>Not Available</v>
      </c>
    </row>
    <row r="128" spans="1:2" x14ac:dyDescent="0.25">
      <c r="A128" s="35" t="s">
        <v>141</v>
      </c>
      <c r="B128" s="49" t="str">
        <f>IF(COUNT(Vertices[PageRank])&gt;0, P45, NoMetricMessage)</f>
        <v>Not Available</v>
      </c>
    </row>
    <row r="129" spans="1:2" x14ac:dyDescent="0.25">
      <c r="A129" s="35" t="s">
        <v>142</v>
      </c>
      <c r="B129" s="49" t="str">
        <f>IFERROR(AVERAGE(Vertices[PageRank]),NoMetricMessage)</f>
        <v>Not Available</v>
      </c>
    </row>
    <row r="130" spans="1:2" x14ac:dyDescent="0.25">
      <c r="A130" s="35" t="s">
        <v>143</v>
      </c>
      <c r="B130" s="49" t="str">
        <f>IFERROR(MEDIAN(Vertices[PageRank]),NoMetricMessage)</f>
        <v>Not Available</v>
      </c>
    </row>
    <row r="141" spans="1:2" x14ac:dyDescent="0.25">
      <c r="A141" s="35" t="s">
        <v>118</v>
      </c>
      <c r="B141" s="49" t="str">
        <f>IF(COUNT(Vertices[Clustering Coefficient])&gt;0, R2, NoMetricMessage)</f>
        <v>Not Available</v>
      </c>
    </row>
    <row r="142" spans="1:2" x14ac:dyDescent="0.25">
      <c r="A142" s="35" t="s">
        <v>119</v>
      </c>
      <c r="B142" s="49" t="str">
        <f>IF(COUNT(Vertices[Clustering Coefficient])&gt;0, R45, NoMetricMessage)</f>
        <v>Not Available</v>
      </c>
    </row>
    <row r="143" spans="1:2" x14ac:dyDescent="0.25">
      <c r="A143" s="35" t="s">
        <v>120</v>
      </c>
      <c r="B143" s="49" t="str">
        <f>IFERROR(AVERAGE(Vertices[Clustering Coefficient]),NoMetricMessage)</f>
        <v>Not Available</v>
      </c>
    </row>
    <row r="144" spans="1:2" x14ac:dyDescent="0.25">
      <c r="A144" s="35" t="s">
        <v>121</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x14ac:dyDescent="0.25">
      <c r="A1" s="5" t="s">
        <v>6</v>
      </c>
      <c r="B1" s="5" t="s">
        <v>131</v>
      </c>
      <c r="C1" s="4" t="s">
        <v>7</v>
      </c>
      <c r="D1" s="4" t="s">
        <v>9</v>
      </c>
      <c r="E1" s="4" t="s">
        <v>164</v>
      </c>
      <c r="F1" s="5" t="s">
        <v>169</v>
      </c>
      <c r="G1" s="4" t="s">
        <v>14</v>
      </c>
      <c r="H1" s="4" t="s">
        <v>67</v>
      </c>
      <c r="J1" s="4" t="s">
        <v>18</v>
      </c>
      <c r="K1" s="4" t="s">
        <v>17</v>
      </c>
      <c r="M1" s="4" t="s">
        <v>22</v>
      </c>
      <c r="N1" s="4" t="s">
        <v>23</v>
      </c>
      <c r="O1" s="4" t="s">
        <v>24</v>
      </c>
      <c r="P1" s="4" t="s">
        <v>25</v>
      </c>
    </row>
    <row r="2" spans="1:18" x14ac:dyDescent="0.25">
      <c r="A2" s="1" t="s">
        <v>51</v>
      </c>
      <c r="B2" s="1" t="s">
        <v>132</v>
      </c>
      <c r="C2" t="s">
        <v>54</v>
      </c>
      <c r="D2" t="s">
        <v>55</v>
      </c>
      <c r="E2" t="s">
        <v>55</v>
      </c>
      <c r="F2" s="1" t="s">
        <v>51</v>
      </c>
      <c r="G2" t="s">
        <v>65</v>
      </c>
      <c r="H2" t="s">
        <v>159</v>
      </c>
      <c r="J2" t="s">
        <v>19</v>
      </c>
      <c r="K2">
        <v>108</v>
      </c>
    </row>
    <row r="3" spans="1:18" x14ac:dyDescent="0.25">
      <c r="A3" s="1" t="s">
        <v>52</v>
      </c>
      <c r="B3" s="1" t="s">
        <v>133</v>
      </c>
      <c r="C3" t="s">
        <v>52</v>
      </c>
      <c r="D3" t="s">
        <v>56</v>
      </c>
      <c r="E3" t="s">
        <v>56</v>
      </c>
      <c r="F3" s="1" t="s">
        <v>52</v>
      </c>
      <c r="G3" t="s">
        <v>66</v>
      </c>
      <c r="H3" t="s">
        <v>68</v>
      </c>
      <c r="J3" t="s">
        <v>29</v>
      </c>
      <c r="K3" t="s">
        <v>30</v>
      </c>
    </row>
    <row r="4" spans="1:18" x14ac:dyDescent="0.25">
      <c r="A4" s="1" t="s">
        <v>53</v>
      </c>
      <c r="B4" s="1" t="s">
        <v>134</v>
      </c>
      <c r="C4" t="s">
        <v>53</v>
      </c>
      <c r="D4" t="s">
        <v>57</v>
      </c>
      <c r="E4" t="s">
        <v>57</v>
      </c>
      <c r="F4" s="1" t="s">
        <v>53</v>
      </c>
      <c r="G4">
        <v>0</v>
      </c>
      <c r="H4" t="s">
        <v>69</v>
      </c>
      <c r="J4" s="12" t="s">
        <v>78</v>
      </c>
      <c r="K4" s="12"/>
    </row>
    <row r="5" spans="1:18" ht="409.5" x14ac:dyDescent="0.25">
      <c r="A5">
        <v>1</v>
      </c>
      <c r="B5" s="1" t="s">
        <v>135</v>
      </c>
      <c r="C5" t="s">
        <v>51</v>
      </c>
      <c r="D5" t="s">
        <v>58</v>
      </c>
      <c r="E5" t="s">
        <v>58</v>
      </c>
      <c r="F5">
        <v>1</v>
      </c>
      <c r="G5">
        <v>1</v>
      </c>
      <c r="H5" t="s">
        <v>70</v>
      </c>
      <c r="J5" t="s">
        <v>172</v>
      </c>
      <c r="K5" s="13" t="s">
        <v>179</v>
      </c>
    </row>
    <row r="6" spans="1:18" x14ac:dyDescent="0.25">
      <c r="A6">
        <v>0</v>
      </c>
      <c r="B6" s="1" t="s">
        <v>136</v>
      </c>
      <c r="C6">
        <v>1</v>
      </c>
      <c r="D6" t="s">
        <v>59</v>
      </c>
      <c r="E6" t="s">
        <v>59</v>
      </c>
      <c r="F6">
        <v>0</v>
      </c>
      <c r="H6" t="s">
        <v>71</v>
      </c>
      <c r="J6" t="s">
        <v>173</v>
      </c>
      <c r="K6">
        <v>2</v>
      </c>
      <c r="R6" t="s">
        <v>129</v>
      </c>
    </row>
    <row r="7" spans="1:18" x14ac:dyDescent="0.25">
      <c r="A7">
        <v>2</v>
      </c>
      <c r="B7">
        <v>1</v>
      </c>
      <c r="C7">
        <v>0</v>
      </c>
      <c r="D7" t="s">
        <v>60</v>
      </c>
      <c r="E7" t="s">
        <v>60</v>
      </c>
      <c r="F7">
        <v>2</v>
      </c>
      <c r="H7" t="s">
        <v>72</v>
      </c>
      <c r="J7" t="s">
        <v>174</v>
      </c>
      <c r="K7" t="s">
        <v>175</v>
      </c>
    </row>
    <row r="8" spans="1:18" x14ac:dyDescent="0.25">
      <c r="A8"/>
      <c r="B8">
        <v>2</v>
      </c>
      <c r="C8">
        <v>2</v>
      </c>
      <c r="D8" t="s">
        <v>61</v>
      </c>
      <c r="E8" t="s">
        <v>61</v>
      </c>
      <c r="H8" t="s">
        <v>73</v>
      </c>
      <c r="J8" t="s">
        <v>177</v>
      </c>
      <c r="K8" t="s">
        <v>178</v>
      </c>
    </row>
    <row r="9" spans="1:18" ht="409.5" x14ac:dyDescent="0.25">
      <c r="A9"/>
      <c r="B9">
        <v>3</v>
      </c>
      <c r="C9">
        <v>4</v>
      </c>
      <c r="D9" t="s">
        <v>62</v>
      </c>
      <c r="E9" t="s">
        <v>62</v>
      </c>
      <c r="H9" t="s">
        <v>74</v>
      </c>
      <c r="J9" t="s">
        <v>180</v>
      </c>
      <c r="K9" s="13" t="s">
        <v>182</v>
      </c>
    </row>
    <row r="10" spans="1:18" x14ac:dyDescent="0.25">
      <c r="A10"/>
      <c r="B10">
        <v>4</v>
      </c>
      <c r="D10" t="s">
        <v>63</v>
      </c>
      <c r="E10" t="s">
        <v>63</v>
      </c>
      <c r="H10" t="s">
        <v>75</v>
      </c>
    </row>
    <row r="11" spans="1:18" x14ac:dyDescent="0.25">
      <c r="A11"/>
      <c r="B11">
        <v>5</v>
      </c>
      <c r="D11" t="s">
        <v>46</v>
      </c>
      <c r="E11">
        <v>1</v>
      </c>
      <c r="H11" t="s">
        <v>76</v>
      </c>
    </row>
    <row r="12" spans="1:18" x14ac:dyDescent="0.25">
      <c r="A12"/>
      <c r="B12"/>
      <c r="D12" t="s">
        <v>64</v>
      </c>
      <c r="E12">
        <v>2</v>
      </c>
      <c r="H12">
        <v>0</v>
      </c>
    </row>
    <row r="13" spans="1:18" x14ac:dyDescent="0.25">
      <c r="A13"/>
      <c r="B13"/>
      <c r="D13">
        <v>1</v>
      </c>
      <c r="E13">
        <v>3</v>
      </c>
      <c r="H13">
        <v>1</v>
      </c>
    </row>
    <row r="14" spans="1:18" x14ac:dyDescent="0.25">
      <c r="D14">
        <v>2</v>
      </c>
      <c r="E14">
        <v>4</v>
      </c>
      <c r="H14">
        <v>2</v>
      </c>
    </row>
    <row r="15" spans="1:18" x14ac:dyDescent="0.25">
      <c r="D15">
        <v>3</v>
      </c>
      <c r="E15">
        <v>5</v>
      </c>
      <c r="H15">
        <v>3</v>
      </c>
    </row>
    <row r="16" spans="1:18" x14ac:dyDescent="0.25">
      <c r="D16">
        <v>4</v>
      </c>
      <c r="E16">
        <v>6</v>
      </c>
      <c r="H16">
        <v>4</v>
      </c>
    </row>
    <row r="17" spans="4:8" x14ac:dyDescent="0.25">
      <c r="D17">
        <v>5</v>
      </c>
      <c r="E17">
        <v>7</v>
      </c>
      <c r="H17">
        <v>5</v>
      </c>
    </row>
    <row r="18" spans="4:8" x14ac:dyDescent="0.25">
      <c r="D18">
        <v>6</v>
      </c>
      <c r="E18">
        <v>8</v>
      </c>
      <c r="H18">
        <v>6</v>
      </c>
    </row>
    <row r="19" spans="4:8" x14ac:dyDescent="0.25">
      <c r="D19">
        <v>7</v>
      </c>
      <c r="E19">
        <v>9</v>
      </c>
      <c r="H19">
        <v>7</v>
      </c>
    </row>
    <row r="20" spans="4:8" x14ac:dyDescent="0.25">
      <c r="D20">
        <v>8</v>
      </c>
      <c r="H20">
        <v>8</v>
      </c>
    </row>
    <row r="21" spans="4:8" x14ac:dyDescent="0.25">
      <c r="D21">
        <v>9</v>
      </c>
      <c r="H21">
        <v>9</v>
      </c>
    </row>
    <row r="22" spans="4:8" x14ac:dyDescent="0.25">
      <c r="D22">
        <v>10</v>
      </c>
    </row>
    <row r="23" spans="4:8"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5CEBB6FB-D189-4470-9128-E567A9F4D37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Lucy</dc:creator>
  <cp:lastModifiedBy>Lucy</cp:lastModifiedBy>
  <dcterms:created xsi:type="dcterms:W3CDTF">2008-01-30T00:41:58Z</dcterms:created>
  <dcterms:modified xsi:type="dcterms:W3CDTF">2017-08-09T23:31:44Z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2fab5c60-e3b5-439b-8f29-2ddb446af29a</vt:lpwstr>
  </property>
  <property fmtid="{D5CDD505-2E9C-101B-9397-08002B2CF9AE}" pid="3" name="_AssemblyLocation">
    <vt:lpwstr>http://www.nodexlgraphgallery.org/NodeXLBasicSetup/Smrf.NodeXL.ExcelTemplate.vsto|aa51c0f3-62b4-4782-83a8-a15dcdd17698</vt:lpwstr>
  </property>
  <property fmtid="{D5CDD505-2E9C-101B-9397-08002B2CF9AE}" pid="4" name="_AssemblyName">
    <vt:lpwstr>4E3C66D5-58D4-491E-A7D4-64AF99AF6E8B</vt:lpwstr>
  </property>
  <property fmtid="{D5CDD505-2E9C-101B-9397-08002B2CF9AE}" pid="5" name="Solution ID">
    <vt:lpwstr>{15727DE6-F92D-4E46-ACB4-0E2C58B31A18}</vt:lpwstr>
  </property>
</Properties>
</file>